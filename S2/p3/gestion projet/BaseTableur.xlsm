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IUT_Info_Nathalie/Documents/"/>
    </mc:Choice>
  </mc:AlternateContent>
  <xr:revisionPtr revIDLastSave="0" documentId="8_{FDF491DD-D386-5548-A38C-9B6078A9444B}" xr6:coauthVersionLast="36" xr6:coauthVersionMax="36" xr10:uidLastSave="{00000000-0000-0000-0000-000000000000}"/>
  <bookViews>
    <workbookView xWindow="26380" yWindow="460" windowWidth="26120" windowHeight="16940" xr2:uid="{29E4D776-93EC-0947-9913-8AEB7BDFE082}"/>
  </bookViews>
  <sheets>
    <sheet name="Accueil" sheetId="1" r:id="rId1"/>
    <sheet name="F1" sheetId="2" r:id="rId2"/>
    <sheet name="F2" sheetId="3" r:id="rId3"/>
    <sheet name="F3" sheetId="4" r:id="rId4"/>
    <sheet name="F4" sheetId="5" r:id="rId5"/>
    <sheet name="F5" sheetId="6" r:id="rId6"/>
    <sheet name="F6" sheetId="7" r:id="rId7"/>
    <sheet name="F7" sheetId="8" r:id="rId8"/>
    <sheet name="F8" sheetId="9" r:id="rId9"/>
    <sheet name="F9" sheetId="10" r:id="rId10"/>
    <sheet name="F10" sheetId="11" r:id="rId11"/>
    <sheet name="F11" sheetId="12" r:id="rId12"/>
    <sheet name="F12" sheetId="13" r:id="rId13"/>
    <sheet name="F13" sheetId="14" r:id="rId14"/>
    <sheet name="F14" sheetId="15" r:id="rId15"/>
    <sheet name="F15" sheetId="16" r:id="rId16"/>
    <sheet name="F16" sheetId="17" r:id="rId17"/>
    <sheet name="F17" sheetId="18" r:id="rId18"/>
  </sheets>
  <definedNames>
    <definedName name="_xlnm._FilterDatabase" localSheetId="16" hidden="1">'F16'!$K$1:$K$20</definedName>
    <definedName name="_xlnm._FilterDatabase" localSheetId="7" hidden="1">'F7'!$D$1:$H$14</definedName>
    <definedName name="_xlnm.Criteria" localSheetId="16">'F16'!$D$1</definedName>
    <definedName name="_xlnm.Extract" localSheetId="16">'F16'!$G$1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8" l="1"/>
  <c r="E5" i="18" s="1"/>
  <c r="D6" i="18"/>
  <c r="D12" i="18"/>
  <c r="D10" i="18"/>
  <c r="D9" i="18"/>
  <c r="D8" i="18"/>
  <c r="D3" i="18"/>
  <c r="D4" i="18" s="1"/>
</calcChain>
</file>

<file path=xl/sharedStrings.xml><?xml version="1.0" encoding="utf-8"?>
<sst xmlns="http://schemas.openxmlformats.org/spreadsheetml/2006/main" count="323" uniqueCount="261">
  <si>
    <t>À la fin de cette séance, vous devez savoir :</t>
  </si>
  <si>
    <t>F1</t>
  </si>
  <si>
    <t>Dessiner un bouton</t>
  </si>
  <si>
    <t>Créer une macro de changement de page</t>
  </si>
  <si>
    <t>Affecter une macro à un bouton</t>
  </si>
  <si>
    <t>F2</t>
  </si>
  <si>
    <t>Créer une zone de liste</t>
  </si>
  <si>
    <t>F3</t>
  </si>
  <si>
    <t>Importer un module calendrier</t>
  </si>
  <si>
    <t>F4</t>
  </si>
  <si>
    <t>Créer une boîte à cocher et lier deux boîtes à cocher</t>
  </si>
  <si>
    <t>F5</t>
  </si>
  <si>
    <t>Créer un graphique</t>
  </si>
  <si>
    <t>F6</t>
  </si>
  <si>
    <t>Faire une recherche dans une BD</t>
  </si>
  <si>
    <t>F7</t>
  </si>
  <si>
    <t>Créer un filtre dans un tableau</t>
  </si>
  <si>
    <t>F8</t>
  </si>
  <si>
    <t>Faire une input box</t>
  </si>
  <si>
    <t>F9</t>
  </si>
  <si>
    <t>Affecter un nombre ou un mot dans une cellule</t>
  </si>
  <si>
    <t>F10</t>
  </si>
  <si>
    <t>Faire un copier-coller par macro</t>
  </si>
  <si>
    <t>F11</t>
  </si>
  <si>
    <t>Faire une conditionnelle par macro</t>
  </si>
  <si>
    <t>F12</t>
  </si>
  <si>
    <t>Faire une boucle par macro</t>
  </si>
  <si>
    <t>F13</t>
  </si>
  <si>
    <t>Connaître quelques formules statistiques (somme, min, max, moyenne)</t>
  </si>
  <si>
    <t>F14</t>
  </si>
  <si>
    <t>Supprimer le quadrillage</t>
  </si>
  <si>
    <t>Supprimer les entêtes et les menus</t>
  </si>
  <si>
    <t>F15</t>
  </si>
  <si>
    <t>Affecter une image à un fichier</t>
  </si>
  <si>
    <t>F16</t>
  </si>
  <si>
    <t>F17</t>
  </si>
  <si>
    <t>Fonctions de date</t>
  </si>
  <si>
    <t>Créez un bouton turquoise de la taille de deux cellules en largeur et 4 en hauteur avec le libellé « Cliquez ici pour voir si ça fonctionne » en times new roman 12 gras.</t>
  </si>
  <si>
    <t xml:space="preserve">Créez une macro </t>
  </si>
  <si>
    <t>Affectez votre macro à votre bouton</t>
  </si>
  <si>
    <t>1- Allez dans Insertion / Illustrations / et choisissez une forme</t>
  </si>
  <si>
    <t>2- Notez le libellé à l'intérieur de la forme</t>
  </si>
  <si>
    <t>3- Pour la mise en forme, replacez-vous dans l'onglet Accueil</t>
  </si>
  <si>
    <t>OU</t>
  </si>
  <si>
    <t>1- Allez sur l'onglet développeur / Choisissez Bouton</t>
  </si>
  <si>
    <t>2- Dessinez votre bouton</t>
  </si>
  <si>
    <t>3- Clic droit, format de contrôle, choisissez la police et la taille</t>
  </si>
  <si>
    <t>1- Clic droit sur votre bouton, choisissez Affecter une macro</t>
  </si>
  <si>
    <t>Sub Bouton1_Cliquer()</t>
  </si>
  <si>
    <t>Sheets("Accueil").Select</t>
  </si>
  <si>
    <t>End Sub</t>
  </si>
  <si>
    <t>2- Choisssez Nouvelle</t>
  </si>
  <si>
    <t>3- Dans la fenêtre, tapez :</t>
  </si>
  <si>
    <t>Créez une zone de liste à partir de la liste ci-après.</t>
  </si>
  <si>
    <t>Matières</t>
  </si>
  <si>
    <t>Fonctionnement des organisations</t>
  </si>
  <si>
    <t>Gestion de projet</t>
  </si>
  <si>
    <t>Gestion des systèmes d'information</t>
  </si>
  <si>
    <t>Méthodologie de la production d'applications</t>
  </si>
  <si>
    <t>1- Cliquez sur Développeur &gt; Insérer</t>
  </si>
  <si>
    <t>2- Sous Contrôles de formulaire, cliquez sur Zone de liste (Contrôle de formulaire)</t>
  </si>
  <si>
    <t>3- Cliquez sur la cellule dans laquelle vous voulez créer la zone de liste</t>
  </si>
  <si>
    <t>4- Cliquez sur Propriétés &gt; Contrôle et définissez Plage d'entrée ET Cellule liée</t>
  </si>
  <si>
    <t>https://support.office.com/fr-fr/article/ajouter-une-zone-de-liste-ou-une-zone-de-liste-d%C3%A9roulante-%C3%A0-une-feuille-de-calcul-dans-excel-579e1958-f7f6-41ae-ba0c-c83cc6e40878</t>
  </si>
  <si>
    <t>Insérez un module calendrier pour pouvoir sélectionner une date à partir d'un calendrier.</t>
  </si>
  <si>
    <t>http://www.kalligo.com/fiche-pratique/informatique/excel/1269-excel-inserer-calendrier-dans-cellule.htm</t>
  </si>
  <si>
    <t>1- Allez dans le module développeur</t>
  </si>
  <si>
    <t>2- Dessinez 2 cases d'option</t>
  </si>
  <si>
    <t>3- Choisissez la même cellule liée G1</t>
  </si>
  <si>
    <t>Créez un graphique à partir des données ci-dessous.</t>
  </si>
  <si>
    <t>SQL</t>
  </si>
  <si>
    <t>Python</t>
  </si>
  <si>
    <t>Java</t>
  </si>
  <si>
    <t>Basic</t>
  </si>
  <si>
    <t>HTML</t>
  </si>
  <si>
    <t>Php</t>
  </si>
  <si>
    <t>1- Sélectionnez le tableau de données</t>
  </si>
  <si>
    <t>2- Dans l'onglet Insertion, choisissez Histogramme, puis choisissez votre image 3D</t>
  </si>
  <si>
    <t>3- Modifiez le titre</t>
  </si>
  <si>
    <t>4- En sélectionnant les barres, choisissez "Ajouter les étiquettes de données"</t>
  </si>
  <si>
    <t>Faîtes une recherche dans une base de données.</t>
  </si>
  <si>
    <t>SSII</t>
  </si>
  <si>
    <t>CA 2014</t>
  </si>
  <si>
    <t>Cap Gemini</t>
  </si>
  <si>
    <t>IBM</t>
  </si>
  <si>
    <t>ATOS</t>
  </si>
  <si>
    <t>Sopra Stéria</t>
  </si>
  <si>
    <t>Orange</t>
  </si>
  <si>
    <t>Accenture</t>
  </si>
  <si>
    <t>HP</t>
  </si>
  <si>
    <t>CGI</t>
  </si>
  <si>
    <t>GFI</t>
  </si>
  <si>
    <t>1- Dans le taleau ci-dessous, copiez et collez les titres (SSII et CA 2014) : c'est votre zone de critère</t>
  </si>
  <si>
    <t>2- En D15, saisissez IBM</t>
  </si>
  <si>
    <t>3- en E15, saisissez cette formule :</t>
  </si>
  <si>
    <r>
      <t>=BDLIRE(</t>
    </r>
    <r>
      <rPr>
        <sz val="12"/>
        <color rgb="FFFF0000"/>
        <rFont val="Calibri (Corps)_x0000_"/>
      </rPr>
      <t>F1:G10</t>
    </r>
    <r>
      <rPr>
        <sz val="12"/>
        <color theme="1"/>
        <rFont val="Calibri"/>
        <family val="2"/>
        <scheme val="minor"/>
      </rPr>
      <t>;"CA 2014";</t>
    </r>
    <r>
      <rPr>
        <sz val="12"/>
        <color theme="4"/>
        <rFont val="Calibri (Corps)_x0000_"/>
      </rPr>
      <t>D14:D15</t>
    </r>
    <r>
      <rPr>
        <sz val="12"/>
        <color theme="1"/>
        <rFont val="Calibri"/>
        <family val="2"/>
        <scheme val="minor"/>
      </rPr>
      <t>)</t>
    </r>
  </si>
  <si>
    <t>Pour information, on peut mettre plusieurs critères, sur plusieurs colonnes ou plusieurs lignes.</t>
  </si>
  <si>
    <t>Créez un filtre dans un tableau.</t>
  </si>
  <si>
    <t>Nom</t>
  </si>
  <si>
    <t>Type</t>
  </si>
  <si>
    <t>PV</t>
  </si>
  <si>
    <t>Attaque</t>
  </si>
  <si>
    <t>Défense</t>
  </si>
  <si>
    <t>Plante</t>
  </si>
  <si>
    <t>Herbizarre</t>
  </si>
  <si>
    <t>Florizarre</t>
  </si>
  <si>
    <t>Salamèche</t>
  </si>
  <si>
    <t>Feu</t>
  </si>
  <si>
    <t>Reptincelle</t>
  </si>
  <si>
    <t>Dracaufeu</t>
  </si>
  <si>
    <t>Carapuce</t>
  </si>
  <si>
    <t>eau</t>
  </si>
  <si>
    <t>Carabaffe</t>
  </si>
  <si>
    <t>Tortank</t>
  </si>
  <si>
    <t>Chenipan</t>
  </si>
  <si>
    <t>Insecte</t>
  </si>
  <si>
    <t>Chrysacier</t>
  </si>
  <si>
    <t>Papilusion</t>
  </si>
  <si>
    <t>Aspicot</t>
  </si>
  <si>
    <t>Bulbizarre</t>
  </si>
  <si>
    <t>1 - Sélectionnez le tableau</t>
  </si>
  <si>
    <t>2 - Dans l'onglet Données, cliquez sur Filtrer</t>
  </si>
  <si>
    <t>3 - Filtrez les insectes</t>
  </si>
  <si>
    <t>4 - Filtrez les PV&gt;50.</t>
  </si>
  <si>
    <t>5 - Filtrez le Pokémon qui ne contient pasla lettre "A"</t>
  </si>
  <si>
    <t>Créer une boîte de dialogue.</t>
  </si>
  <si>
    <t>Nous allons créer une boîte de dialogue qui demande son prénom à l'utilisateur.</t>
  </si>
  <si>
    <t>1- Créer un macro que vous appellerez InvitePrenom.</t>
  </si>
  <si>
    <t>2- Dans le sub main, définir la variable Prenom</t>
  </si>
  <si>
    <t>Dim Prenom as String</t>
  </si>
  <si>
    <t>3- Créer la boîte de dialogue :</t>
  </si>
  <si>
    <t>Prenom=Inputbox('' Quel est votre prénom ?'')</t>
  </si>
  <si>
    <t>4- Enregistrer, fermer et tester la macro.</t>
  </si>
  <si>
    <t>Affecter une valeur dans une cellule.</t>
  </si>
  <si>
    <t>Nous allons affecter la valeur issue de la boîte de dialogue précédente dans la cellule D1.</t>
  </si>
  <si>
    <t>Nathalie</t>
  </si>
  <si>
    <t>1- Rajoutez dans votre macro :</t>
  </si>
  <si>
    <t>Sheets("F9").Range("D1") = Prenom</t>
  </si>
  <si>
    <t>où F9 est la feuille où vous voulez écrire</t>
  </si>
  <si>
    <t>et D1, la case où vous voulez écrire</t>
  </si>
  <si>
    <t>Faire un copier-coller par macro.</t>
  </si>
  <si>
    <t>1 - Créez une fonction avec ces lignes</t>
  </si>
  <si>
    <t>2 - Que fait-elle ?</t>
  </si>
  <si>
    <t>3 - Changez la zone de collage pour que cela s'affiche dans cette page.</t>
  </si>
  <si>
    <t>Sheets("F5").Range("C4:D9").Copy Destination:=Sheets("F5").Range("G4:H9")</t>
  </si>
  <si>
    <t>Cells(2, 1).EntireRow.Insert Shift:=xlDown</t>
  </si>
  <si>
    <t>Faire une conditionnelle par macro.</t>
  </si>
  <si>
    <t>Rappel de la conditionnelle par formule : =si(condition ; alors, sinon)</t>
  </si>
  <si>
    <t>Exple : =si(B2=1 ; ''Bonjour'' ;''Au revoir'')</t>
  </si>
  <si>
    <t>Si le prénom entré est Paul, on veut que le nom s'affiche en D1, sinon, on veut qu'il s'affiche en E1.</t>
  </si>
  <si>
    <t>La structure conditionnelle est la suivante :</t>
  </si>
  <si>
    <t>If condition then</t>
  </si>
  <si>
    <t>ce qui se passe si la condition est remplie</t>
  </si>
  <si>
    <t>Else</t>
  </si>
  <si>
    <t>ce qui se passe sinon</t>
  </si>
  <si>
    <t>End if</t>
  </si>
  <si>
    <t>Pour gagner du temps, nous allons réutilser la macro InvitePrenom de la boîte de dialogue.</t>
  </si>
  <si>
    <t>https://www.excel-pratique.com/fr/vba/conditions.php</t>
  </si>
  <si>
    <t>Faire une boucle par macro.</t>
  </si>
  <si>
    <t>La structure est la suivante :</t>
  </si>
  <si>
    <t>Nous allons écrire les nombres 1 à 10 dans les cellules A4 à A13.</t>
  </si>
  <si>
    <t>For i=1 To 10</t>
  </si>
  <si>
    <t>1- Modifiez la feuille où s'afficheront les résultats</t>
  </si>
  <si>
    <t>2 - Rajoutez</t>
  </si>
  <si>
    <t>If Prenom = "Paul" Then</t>
  </si>
  <si>
    <t>Sheets("F11").Range("E1") = Prenom</t>
  </si>
  <si>
    <t>End If</t>
  </si>
  <si>
    <t>…</t>
  </si>
  <si>
    <t>4 - Enregistrez et testez</t>
  </si>
  <si>
    <t>Next</t>
  </si>
  <si>
    <t>1 - Créez une nouvelle macro</t>
  </si>
  <si>
    <t>2 - Tapez :</t>
  </si>
  <si>
    <t>For i = 1 To 10</t>
  </si>
  <si>
    <t>Cells(i + 2, 1) = i</t>
  </si>
  <si>
    <t>3 -  Enregistrez et testez</t>
  </si>
  <si>
    <t>Connaître quelques fonctions statistiques.</t>
  </si>
  <si>
    <t>Complétez le tableau :</t>
  </si>
  <si>
    <t>Moyenne</t>
  </si>
  <si>
    <t>Maximum</t>
  </si>
  <si>
    <t>Minimum</t>
  </si>
  <si>
    <t>Somme</t>
  </si>
  <si>
    <t>Fonction MOYENNE, MAX, MIN, SOMME</t>
  </si>
  <si>
    <t>Supprimer le quadrillage, les entêtes et les menus.</t>
  </si>
  <si>
    <t>Dans l'onglet Affichage, décochez Quadrillage, barre de formule et Titres</t>
  </si>
  <si>
    <t>Attention à ne pas tout masquer, sinon certaines macros ne fonctionneront plus.</t>
  </si>
  <si>
    <t>Avant de masquer, vous devez notamment prévoir des boutons pour vos macros.</t>
  </si>
  <si>
    <t>Pour masquer les onglets (en bas), on peut choisir un onglet et par un clic droit, choisir masquer</t>
  </si>
  <si>
    <t>Pour cacher la barre d'outils, cliquez sur la fl^che vers le haut à droite de Partager</t>
  </si>
  <si>
    <t>Affecter une image à un fichier.</t>
  </si>
  <si>
    <t>Pour que l'utilisateur retrouve rapidement son application sur son bureau, c'est bien d'affecter une icône particulière.</t>
  </si>
  <si>
    <t>Selon votre distribution, cherchez sur internet…</t>
  </si>
  <si>
    <t>Réaliser un filtre par macro.</t>
  </si>
  <si>
    <t>Voici un exemple qui vous permettra de filtrer les cours par enseignant.</t>
  </si>
  <si>
    <t>NomEnseignant</t>
  </si>
  <si>
    <t>Einstein Albert</t>
  </si>
  <si>
    <t>Curie Marie</t>
  </si>
  <si>
    <t>John McCarthy</t>
  </si>
  <si>
    <t>Keynes John Maynard</t>
  </si>
  <si>
    <t>Turing Alan</t>
  </si>
  <si>
    <t>Pascal Blaise</t>
  </si>
  <si>
    <t>Claude Shannon</t>
  </si>
  <si>
    <t>Tim Berners-Lee</t>
  </si>
  <si>
    <t>Daniel Kahneman</t>
  </si>
  <si>
    <t>Cours</t>
  </si>
  <si>
    <t>Physique</t>
  </si>
  <si>
    <t>Chimie</t>
  </si>
  <si>
    <t>Économie</t>
  </si>
  <si>
    <t>Compta</t>
  </si>
  <si>
    <t>Mathématiques</t>
  </si>
  <si>
    <t>Algorithmique</t>
  </si>
  <si>
    <t>Cryptographie</t>
  </si>
  <si>
    <t>Philosophie</t>
  </si>
  <si>
    <t>Réseau</t>
  </si>
  <si>
    <t>CSS</t>
  </si>
  <si>
    <t>Management</t>
  </si>
  <si>
    <t>NomEtudiant</t>
  </si>
  <si>
    <t>Ricoeur Paul</t>
  </si>
  <si>
    <t>Popper Karl</t>
  </si>
  <si>
    <t>Job Steve</t>
  </si>
  <si>
    <t>Page Larry</t>
  </si>
  <si>
    <t>Bezos Jeff</t>
  </si>
  <si>
    <t>Elison Lary</t>
  </si>
  <si>
    <t>Brin Sergueï</t>
  </si>
  <si>
    <t>Tappan Morris Robert</t>
  </si>
  <si>
    <t>Meyer Marissa</t>
  </si>
  <si>
    <t>Schopenhauer Arthur</t>
  </si>
  <si>
    <t>Comte Auguste</t>
  </si>
  <si>
    <t>Henri Bergson</t>
  </si>
  <si>
    <t>Mintzberg Henri</t>
  </si>
  <si>
    <t>Charreaux Gérard</t>
  </si>
  <si>
    <t>Porter Michael</t>
  </si>
  <si>
    <t>Desreumeaux Alain</t>
  </si>
  <si>
    <t>Lartigau Jérôme</t>
  </si>
  <si>
    <t>Musk Elon</t>
  </si>
  <si>
    <t>Niel Xavier</t>
  </si>
  <si>
    <t>1- Pour réaliser un filtre automatique :</t>
  </si>
  <si>
    <t>NomEns = Sheets("F16").Range("D1")</t>
  </si>
  <si>
    <t>Sheets("F16").Range("$K$1:$L$1").AutoFilter Field:=1, Criteria1:=Array(NomEns), Operator:=xlFilterValues</t>
  </si>
  <si>
    <t>2- Pour filtrer les enseignants sans doublon</t>
  </si>
  <si>
    <t>[K1:K20].AdvancedFilter Action:=xlFilterCopy, CopyToRange:=[G1], Unique:=True</t>
  </si>
  <si>
    <t>3- Pour filtrer les cours de l'enseignant noté en D1 :</t>
  </si>
  <si>
    <t>[K1:L20].AdvancedFilter Action:=xlFilterCopy, CopyToRange:=[D6], CriteriaRange:=[D1:D2]</t>
  </si>
  <si>
    <t>http://boisgontierjacques.free.fr/pages_site/FiltreElabore.htm#ListeNomsSansDoublons</t>
  </si>
  <si>
    <t>https://www.excel-pratique.com/fr/vba/boucles.php</t>
  </si>
  <si>
    <t>date du jour</t>
  </si>
  <si>
    <t>date du lundi de la semaine actuelle</t>
  </si>
  <si>
    <t>fin de mois</t>
  </si>
  <si>
    <t>année</t>
  </si>
  <si>
    <t>mois</t>
  </si>
  <si>
    <t>jour</t>
  </si>
  <si>
    <t>reconstituer une date</t>
  </si>
  <si>
    <t>=date(année,mois,jour)</t>
  </si>
  <si>
    <t>=aujourdhui()</t>
  </si>
  <si>
    <t>jour de la semaine (format français)</t>
  </si>
  <si>
    <t>=JOURSEM(aujourdhui();2)</t>
  </si>
  <si>
    <t>=ANNEE(AUJOURDHUI())</t>
  </si>
  <si>
    <t>=MOIS(AUJOURDHUI())</t>
  </si>
  <si>
    <t>=JOUR(AUJOURDHUI())</t>
  </si>
  <si>
    <t>=FIN.MOIS(AUJOURDHUI();0)</t>
  </si>
  <si>
    <t>=AUJOURDHUI()-JOURSEM(AUJOURDHUI();2)+1</t>
  </si>
  <si>
    <t>Réaliser un filtre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</si>
</sst>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[$-F800]dddd\,\ mmmm\ dd\,\ yyyy"/>
  </numFmts>
  <fonts count="17"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12"/>
      <color rgb="FF000000"/>
      <name val="Calibri"/>
      <family val="2"/>
    </font>
    <font>
      <sz val="10"/>
      <color theme="1"/>
      <name val="Liberation Sans"/>
    </font>
    <font>
      <b/>
      <sz val="10"/>
      <color theme="1"/>
      <name val="Liberation Sans"/>
    </font>
    <font>
      <b/>
      <sz val="14"/>
      <color theme="1"/>
      <name val="Calibri"/>
      <family val="2"/>
      <scheme val="minor"/>
    </font>
    <font>
      <b/>
      <i/>
      <sz val="10"/>
      <color rgb="FF66CCFF"/>
      <name val="Liberation Sans"/>
    </font>
    <font>
      <sz val="12"/>
      <color rgb="FFFF0000"/>
      <name val="Calibri (Corps)_x0000_"/>
    </font>
    <font>
      <sz val="12"/>
      <color theme="4"/>
      <name val="Calibri (Corps)_x0000_"/>
    </font>
    <font>
      <sz val="10"/>
      <color rgb="FF009933"/>
      <name val="Liberation Sans"/>
    </font>
    <font>
      <sz val="10"/>
      <color theme="1"/>
      <name val="Arial Unicode MS"/>
      <family val="2"/>
    </font>
    <font>
      <i/>
      <sz val="12"/>
      <color theme="4"/>
      <name val="Calibri"/>
      <family val="2"/>
      <scheme val="minor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2"/>
      <color rgb="FFFF0000"/>
      <name val="Calibri"/>
      <family val="2"/>
    </font>
    <font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4" fillId="0" borderId="0" xfId="0" applyFont="1"/>
    <xf numFmtId="0" fontId="6" fillId="0" borderId="0" xfId="0" applyFont="1" applyAlignment="1">
      <alignment horizontal="center"/>
    </xf>
    <xf numFmtId="0" fontId="7" fillId="0" borderId="0" xfId="0" applyFont="1"/>
    <xf numFmtId="0" fontId="0" fillId="2" borderId="0" xfId="0" applyFill="1"/>
    <xf numFmtId="0" fontId="4" fillId="0" borderId="1" xfId="0" applyFont="1" applyBorder="1"/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0" fontId="0" fillId="0" borderId="1" xfId="0" applyBorder="1"/>
    <xf numFmtId="0" fontId="0" fillId="0" borderId="0" xfId="0" quotePrefix="1"/>
    <xf numFmtId="0" fontId="10" fillId="0" borderId="0" xfId="0" applyFont="1"/>
    <xf numFmtId="0" fontId="0" fillId="3" borderId="0" xfId="0" applyFill="1"/>
    <xf numFmtId="0" fontId="11" fillId="0" borderId="0" xfId="0" applyFont="1"/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4" fillId="3" borderId="0" xfId="0" applyFont="1" applyFill="1"/>
    <xf numFmtId="0" fontId="12" fillId="0" borderId="0" xfId="0" applyFont="1"/>
    <xf numFmtId="0" fontId="13" fillId="0" borderId="0" xfId="0" applyFont="1"/>
    <xf numFmtId="0" fontId="2" fillId="0" borderId="0" xfId="0" quotePrefix="1" applyFont="1"/>
    <xf numFmtId="14" fontId="2" fillId="0" borderId="0" xfId="0" applyNumberFormat="1" applyFont="1"/>
    <xf numFmtId="14" fontId="2" fillId="0" borderId="0" xfId="0" quotePrefix="1" applyNumberFormat="1" applyFont="1"/>
    <xf numFmtId="14" fontId="14" fillId="0" borderId="0" xfId="0" applyNumberFormat="1" applyFont="1"/>
    <xf numFmtId="168" fontId="0" fillId="0" borderId="0" xfId="0" applyNumberFormat="1"/>
    <xf numFmtId="0" fontId="15" fillId="0" borderId="0" xfId="0" applyFont="1"/>
    <xf numFmtId="0" fontId="1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5" fmlaLink="$G$1" fmlaRange="$C$3:$C$6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812800</xdr:colOff>
          <xdr:row>0</xdr:row>
          <xdr:rowOff>139700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5EC2EF1-31C6-C549-B5BD-B0A9B5C9B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2BD35-692F-9142-81B6-C31AB4FE393D}">
  <sheetPr codeName="Feuil1"/>
  <dimension ref="A1:E22"/>
  <sheetViews>
    <sheetView tabSelected="1" workbookViewId="0"/>
  </sheetViews>
  <sheetFormatPr baseColWidth="10" defaultRowHeight="16"/>
  <sheetData>
    <row r="1" spans="1:5">
      <c r="A1" s="1" t="s">
        <v>0</v>
      </c>
    </row>
    <row r="2" spans="1:5">
      <c r="A2" s="2"/>
      <c r="B2" s="2"/>
      <c r="C2" s="2"/>
      <c r="D2" s="2"/>
      <c r="E2" s="2"/>
    </row>
    <row r="3" spans="1:5">
      <c r="A3" s="2" t="s">
        <v>1</v>
      </c>
      <c r="B3" s="3" t="s">
        <v>2</v>
      </c>
      <c r="C3" s="2"/>
      <c r="D3" s="2"/>
      <c r="E3" s="2"/>
    </row>
    <row r="4" spans="1:5">
      <c r="A4" s="2"/>
      <c r="B4" s="3" t="s">
        <v>3</v>
      </c>
      <c r="C4" s="2"/>
      <c r="D4" s="2"/>
      <c r="E4" s="2"/>
    </row>
    <row r="5" spans="1:5">
      <c r="A5" s="2"/>
      <c r="B5" s="3" t="s">
        <v>4</v>
      </c>
      <c r="C5" s="2"/>
      <c r="D5" s="2"/>
      <c r="E5" s="2"/>
    </row>
    <row r="6" spans="1:5">
      <c r="A6" s="2" t="s">
        <v>5</v>
      </c>
      <c r="B6" s="27" t="s">
        <v>6</v>
      </c>
      <c r="C6" s="2"/>
      <c r="D6" s="2"/>
      <c r="E6" s="2"/>
    </row>
    <row r="7" spans="1:5">
      <c r="A7" s="2" t="s">
        <v>7</v>
      </c>
      <c r="B7" s="27" t="s">
        <v>8</v>
      </c>
      <c r="C7" s="2"/>
      <c r="D7" s="2"/>
      <c r="E7" s="2"/>
    </row>
    <row r="8" spans="1:5">
      <c r="A8" s="2" t="s">
        <v>9</v>
      </c>
      <c r="B8" s="28" t="s">
        <v>10</v>
      </c>
      <c r="C8" s="2"/>
      <c r="D8" s="2"/>
      <c r="E8" s="2"/>
    </row>
    <row r="9" spans="1:5">
      <c r="A9" s="2" t="s">
        <v>11</v>
      </c>
      <c r="B9" s="3" t="s">
        <v>12</v>
      </c>
      <c r="C9" s="2"/>
      <c r="D9" s="2"/>
      <c r="E9" s="2"/>
    </row>
    <row r="10" spans="1:5">
      <c r="A10" s="2" t="s">
        <v>13</v>
      </c>
      <c r="B10" s="3" t="s">
        <v>14</v>
      </c>
      <c r="C10" s="2"/>
      <c r="D10" s="2"/>
      <c r="E10" s="2"/>
    </row>
    <row r="11" spans="1:5">
      <c r="A11" s="2" t="s">
        <v>15</v>
      </c>
      <c r="B11" s="3" t="s">
        <v>16</v>
      </c>
      <c r="C11" s="2"/>
      <c r="D11" s="2"/>
      <c r="E11" s="2"/>
    </row>
    <row r="12" spans="1:5">
      <c r="A12" s="2" t="s">
        <v>17</v>
      </c>
      <c r="B12" s="3" t="s">
        <v>18</v>
      </c>
      <c r="C12" s="2"/>
      <c r="D12" s="2"/>
      <c r="E12" s="2"/>
    </row>
    <row r="13" spans="1:5">
      <c r="A13" s="2" t="s">
        <v>19</v>
      </c>
      <c r="B13" s="3" t="s">
        <v>20</v>
      </c>
      <c r="C13" s="2"/>
      <c r="D13" s="2"/>
      <c r="E13" s="2"/>
    </row>
    <row r="14" spans="1:5">
      <c r="A14" s="2" t="s">
        <v>21</v>
      </c>
      <c r="B14" s="3" t="s">
        <v>22</v>
      </c>
      <c r="C14" s="2"/>
      <c r="D14" s="2"/>
      <c r="E14" s="2"/>
    </row>
    <row r="15" spans="1:5">
      <c r="A15" s="2" t="s">
        <v>23</v>
      </c>
      <c r="B15" s="3" t="s">
        <v>24</v>
      </c>
      <c r="C15" s="2"/>
      <c r="D15" s="2"/>
      <c r="E15" s="2"/>
    </row>
    <row r="16" spans="1:5">
      <c r="A16" s="2" t="s">
        <v>25</v>
      </c>
      <c r="B16" s="3" t="s">
        <v>26</v>
      </c>
      <c r="C16" s="2"/>
      <c r="D16" s="2"/>
      <c r="E16" s="2"/>
    </row>
    <row r="17" spans="1:5">
      <c r="A17" s="2" t="s">
        <v>27</v>
      </c>
      <c r="B17" s="3" t="s">
        <v>28</v>
      </c>
      <c r="C17" s="2"/>
      <c r="D17" s="2"/>
      <c r="E17" s="2"/>
    </row>
    <row r="18" spans="1:5">
      <c r="A18" s="2" t="s">
        <v>29</v>
      </c>
      <c r="B18" s="3" t="s">
        <v>30</v>
      </c>
      <c r="C18" s="2"/>
      <c r="D18" s="2"/>
      <c r="E18" s="2"/>
    </row>
    <row r="19" spans="1:5">
      <c r="A19" s="2"/>
      <c r="B19" s="3" t="s">
        <v>31</v>
      </c>
      <c r="C19" s="2"/>
      <c r="D19" s="2"/>
      <c r="E19" s="2"/>
    </row>
    <row r="20" spans="1:5">
      <c r="A20" s="2" t="s">
        <v>32</v>
      </c>
      <c r="B20" s="3" t="s">
        <v>33</v>
      </c>
      <c r="C20" s="2"/>
      <c r="D20" s="2"/>
      <c r="E20" s="2"/>
    </row>
    <row r="21" spans="1:5">
      <c r="A21" s="2" t="s">
        <v>34</v>
      </c>
      <c r="B21" s="2" t="s">
        <v>260</v>
      </c>
      <c r="C21" s="2"/>
      <c r="D21" s="2"/>
      <c r="E21" s="2"/>
    </row>
    <row r="22" spans="1:5">
      <c r="A22" s="2" t="s">
        <v>35</v>
      </c>
      <c r="B22" s="2" t="s">
        <v>36</v>
      </c>
      <c r="C22" s="2"/>
      <c r="D22" s="2"/>
      <c r="E22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F9DF7-BEFC-6844-8921-A8F278CF38F2}">
  <sheetPr codeName="Feuil2"/>
  <dimension ref="A1:H35"/>
  <sheetViews>
    <sheetView workbookViewId="0">
      <selection activeCell="G25" sqref="G25"/>
    </sheetView>
  </sheetViews>
  <sheetFormatPr baseColWidth="10" defaultRowHeight="16"/>
  <sheetData>
    <row r="1" spans="1:8">
      <c r="A1" s="4" t="s">
        <v>37</v>
      </c>
    </row>
    <row r="2" spans="1:8">
      <c r="A2" s="5"/>
    </row>
    <row r="3" spans="1:8" ht="19">
      <c r="A3" s="5"/>
      <c r="B3" t="s">
        <v>40</v>
      </c>
      <c r="G3" s="6" t="s">
        <v>43</v>
      </c>
      <c r="H3" t="s">
        <v>44</v>
      </c>
    </row>
    <row r="4" spans="1:8">
      <c r="A4" s="5"/>
      <c r="B4" t="s">
        <v>41</v>
      </c>
      <c r="H4" t="s">
        <v>45</v>
      </c>
    </row>
    <row r="5" spans="1:8">
      <c r="A5" s="5"/>
      <c r="B5" t="s">
        <v>42</v>
      </c>
      <c r="H5" t="s">
        <v>46</v>
      </c>
    </row>
    <row r="6" spans="1:8">
      <c r="A6" s="5"/>
    </row>
    <row r="7" spans="1:8">
      <c r="A7" s="5"/>
    </row>
    <row r="8" spans="1:8">
      <c r="A8" s="5"/>
    </row>
    <row r="9" spans="1:8">
      <c r="A9" s="5"/>
    </row>
    <row r="10" spans="1:8">
      <c r="A10" s="5"/>
    </row>
    <row r="11" spans="1:8">
      <c r="A11" s="5"/>
    </row>
    <row r="12" spans="1:8">
      <c r="A12" s="5"/>
    </row>
    <row r="13" spans="1:8">
      <c r="A13" s="4" t="s">
        <v>38</v>
      </c>
    </row>
    <row r="14" spans="1:8">
      <c r="A14" s="5"/>
    </row>
    <row r="15" spans="1:8">
      <c r="A15" s="5"/>
      <c r="B15" t="s">
        <v>47</v>
      </c>
    </row>
    <row r="16" spans="1:8">
      <c r="A16" s="5"/>
      <c r="B16" t="s">
        <v>51</v>
      </c>
    </row>
    <row r="17" spans="1:3">
      <c r="A17" s="5"/>
      <c r="B17" t="s">
        <v>52</v>
      </c>
    </row>
    <row r="18" spans="1:3">
      <c r="A18" s="5"/>
      <c r="C18" t="s">
        <v>48</v>
      </c>
    </row>
    <row r="19" spans="1:3">
      <c r="A19" s="5"/>
      <c r="C19" t="s">
        <v>49</v>
      </c>
    </row>
    <row r="20" spans="1:3">
      <c r="A20" s="5"/>
      <c r="C20" t="s">
        <v>50</v>
      </c>
    </row>
    <row r="21" spans="1:3">
      <c r="A21" s="5"/>
    </row>
    <row r="22" spans="1:3">
      <c r="A22" s="5"/>
    </row>
    <row r="23" spans="1:3">
      <c r="A23" s="5"/>
    </row>
    <row r="24" spans="1:3">
      <c r="A24" s="5"/>
    </row>
    <row r="25" spans="1:3">
      <c r="A25" s="5"/>
    </row>
    <row r="26" spans="1:3">
      <c r="A26" s="5"/>
    </row>
    <row r="27" spans="1:3">
      <c r="A27" s="5"/>
    </row>
    <row r="28" spans="1:3">
      <c r="A28" s="5"/>
    </row>
    <row r="29" spans="1:3">
      <c r="A29" s="5"/>
    </row>
    <row r="30" spans="1:3">
      <c r="A30" s="5"/>
    </row>
    <row r="31" spans="1:3">
      <c r="A31" s="5"/>
    </row>
    <row r="32" spans="1:3">
      <c r="A32" s="5"/>
    </row>
    <row r="33" spans="1:1">
      <c r="A33" s="5"/>
    </row>
    <row r="34" spans="1:1">
      <c r="A34" s="5"/>
    </row>
    <row r="35" spans="1:1">
      <c r="A35" s="4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169F4-8E02-5340-A592-D4DD5FC48C07}">
  <sheetPr codeName="Feuil3"/>
  <dimension ref="A1:G11"/>
  <sheetViews>
    <sheetView workbookViewId="0">
      <selection activeCell="M6" sqref="M6"/>
    </sheetView>
  </sheetViews>
  <sheetFormatPr baseColWidth="10" defaultRowHeight="16"/>
  <sheetData>
    <row r="1" spans="1:7">
      <c r="A1" s="4" t="s">
        <v>53</v>
      </c>
      <c r="E1" t="s">
        <v>63</v>
      </c>
      <c r="G1">
        <v>0</v>
      </c>
    </row>
    <row r="2" spans="1:7">
      <c r="A2" s="5"/>
      <c r="B2" s="5"/>
      <c r="C2" s="7" t="s">
        <v>54</v>
      </c>
      <c r="D2" s="5"/>
    </row>
    <row r="3" spans="1:7">
      <c r="A3" s="5"/>
      <c r="B3" s="5"/>
      <c r="C3" s="5" t="s">
        <v>55</v>
      </c>
      <c r="D3" s="5"/>
    </row>
    <row r="4" spans="1:7">
      <c r="A4" s="5"/>
      <c r="B4" s="5"/>
      <c r="C4" s="5" t="s">
        <v>56</v>
      </c>
      <c r="D4" s="5"/>
    </row>
    <row r="5" spans="1:7">
      <c r="A5" s="5"/>
      <c r="B5" s="5"/>
      <c r="C5" s="5" t="s">
        <v>57</v>
      </c>
      <c r="D5" s="5"/>
    </row>
    <row r="6" spans="1:7">
      <c r="A6" s="5"/>
      <c r="B6" s="5"/>
      <c r="C6" s="5" t="s">
        <v>58</v>
      </c>
      <c r="D6" s="5"/>
    </row>
    <row r="8" spans="1:7">
      <c r="B8" t="s">
        <v>59</v>
      </c>
    </row>
    <row r="9" spans="1:7">
      <c r="B9" t="s">
        <v>60</v>
      </c>
    </row>
    <row r="10" spans="1:7">
      <c r="B10" t="s">
        <v>61</v>
      </c>
    </row>
    <row r="11" spans="1:7">
      <c r="B11" t="s">
        <v>62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Drop Down 4">
              <controlPr locked="0" defaultSize="0" autoLine="0" autoPict="0">
                <anchor moveWithCells="1">
                  <from>
                    <xdr:col>7</xdr:col>
                    <xdr:colOff>812800</xdr:colOff>
                    <xdr:row>0</xdr:row>
                    <xdr:rowOff>139700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00885-3182-104E-9505-C2AD2AC04231}">
  <sheetPr codeName="Feuil4"/>
  <dimension ref="A1:B2"/>
  <sheetViews>
    <sheetView workbookViewId="0">
      <selection activeCell="B4" sqref="B4"/>
    </sheetView>
  </sheetViews>
  <sheetFormatPr baseColWidth="10" defaultRowHeight="16"/>
  <cols>
    <col min="2" max="2" width="21.6640625" customWidth="1"/>
  </cols>
  <sheetData>
    <row r="1" spans="1:2">
      <c r="A1" s="4" t="s">
        <v>64</v>
      </c>
    </row>
    <row r="2" spans="1:2">
      <c r="B2" t="s">
        <v>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0C0A5-76C4-7843-838A-F0F4FBB413A0}">
  <sheetPr codeName="Feuil5"/>
  <dimension ref="A1:G6"/>
  <sheetViews>
    <sheetView workbookViewId="0">
      <selection activeCell="B7" sqref="B7"/>
    </sheetView>
  </sheetViews>
  <sheetFormatPr baseColWidth="10" defaultRowHeight="16"/>
  <sheetData>
    <row r="1" spans="1:7">
      <c r="A1" s="3" t="s">
        <v>10</v>
      </c>
      <c r="G1" s="8"/>
    </row>
    <row r="4" spans="1:7">
      <c r="B4" t="s">
        <v>66</v>
      </c>
    </row>
    <row r="5" spans="1:7">
      <c r="B5" t="s">
        <v>67</v>
      </c>
    </row>
    <row r="6" spans="1:7">
      <c r="B6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3F967-4D3E-0D47-98B3-BA91DB42D960}">
  <sheetPr codeName="Feuil6"/>
  <dimension ref="A1:D14"/>
  <sheetViews>
    <sheetView workbookViewId="0">
      <selection activeCell="G3" sqref="G3"/>
    </sheetView>
  </sheetViews>
  <sheetFormatPr baseColWidth="10" defaultRowHeight="16"/>
  <sheetData>
    <row r="1" spans="1:4">
      <c r="A1" s="4" t="s">
        <v>69</v>
      </c>
    </row>
    <row r="2" spans="1:4">
      <c r="A2" s="5"/>
      <c r="B2" s="5"/>
      <c r="C2" s="5"/>
      <c r="D2" s="5"/>
    </row>
    <row r="3" spans="1:4">
      <c r="A3" s="5"/>
      <c r="B3" s="5"/>
      <c r="C3" s="5"/>
      <c r="D3" s="5"/>
    </row>
    <row r="4" spans="1:4">
      <c r="A4" s="5"/>
      <c r="B4" s="5"/>
      <c r="C4" s="9" t="s">
        <v>70</v>
      </c>
      <c r="D4" s="9">
        <v>14</v>
      </c>
    </row>
    <row r="5" spans="1:4">
      <c r="A5" s="5"/>
      <c r="B5" s="5"/>
      <c r="C5" s="9" t="s">
        <v>71</v>
      </c>
      <c r="D5" s="9">
        <v>10</v>
      </c>
    </row>
    <row r="6" spans="1:4">
      <c r="A6" s="5"/>
      <c r="B6" s="5"/>
      <c r="C6" s="9" t="s">
        <v>72</v>
      </c>
      <c r="D6" s="9">
        <v>8</v>
      </c>
    </row>
    <row r="7" spans="1:4">
      <c r="A7" s="5"/>
      <c r="B7" s="5"/>
      <c r="C7" s="9" t="s">
        <v>73</v>
      </c>
      <c r="D7" s="9">
        <v>14</v>
      </c>
    </row>
    <row r="8" spans="1:4">
      <c r="A8" s="5"/>
      <c r="B8" s="5"/>
      <c r="C8" s="9" t="s">
        <v>74</v>
      </c>
      <c r="D8" s="9">
        <v>14</v>
      </c>
    </row>
    <row r="9" spans="1:4">
      <c r="A9" s="5"/>
      <c r="B9" s="5"/>
      <c r="C9" s="9" t="s">
        <v>75</v>
      </c>
      <c r="D9" s="9">
        <v>12</v>
      </c>
    </row>
    <row r="11" spans="1:4">
      <c r="B11" t="s">
        <v>76</v>
      </c>
    </row>
    <row r="12" spans="1:4">
      <c r="B12" t="s">
        <v>77</v>
      </c>
    </row>
    <row r="13" spans="1:4">
      <c r="B13" t="s">
        <v>78</v>
      </c>
    </row>
    <row r="14" spans="1:4">
      <c r="B14" t="s">
        <v>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ED961-18F4-BB4A-B9FA-405731CA0322}">
  <sheetPr codeName="Feuil7"/>
  <dimension ref="A1:G20"/>
  <sheetViews>
    <sheetView workbookViewId="0">
      <selection activeCell="B21" sqref="B21"/>
    </sheetView>
  </sheetViews>
  <sheetFormatPr baseColWidth="10" defaultRowHeight="16"/>
  <sheetData>
    <row r="1" spans="1:7">
      <c r="A1" s="4" t="s">
        <v>80</v>
      </c>
      <c r="B1" s="5"/>
      <c r="C1" s="4"/>
      <c r="D1" s="4"/>
      <c r="F1" s="11" t="s">
        <v>81</v>
      </c>
      <c r="G1" s="11" t="s">
        <v>82</v>
      </c>
    </row>
    <row r="2" spans="1:7">
      <c r="A2" s="5"/>
      <c r="B2" s="5"/>
      <c r="C2" s="5"/>
      <c r="D2" s="5"/>
      <c r="E2" s="5"/>
      <c r="F2" s="9" t="s">
        <v>83</v>
      </c>
      <c r="G2" s="9">
        <v>1992</v>
      </c>
    </row>
    <row r="3" spans="1:7">
      <c r="A3" s="5"/>
      <c r="B3" s="5"/>
      <c r="C3" s="5"/>
      <c r="D3" s="5"/>
      <c r="E3" s="5"/>
      <c r="F3" s="9" t="s">
        <v>84</v>
      </c>
      <c r="G3" s="9">
        <v>1900</v>
      </c>
    </row>
    <row r="4" spans="1:7">
      <c r="A4" s="5"/>
      <c r="B4" s="5"/>
      <c r="C4" s="5"/>
      <c r="D4" s="5"/>
      <c r="E4" s="5"/>
      <c r="F4" s="9" t="s">
        <v>85</v>
      </c>
      <c r="G4" s="9">
        <v>1721</v>
      </c>
    </row>
    <row r="5" spans="1:7">
      <c r="A5" s="5"/>
      <c r="B5" s="5"/>
      <c r="C5" s="5"/>
      <c r="D5" s="5"/>
      <c r="E5" s="5"/>
      <c r="F5" s="9" t="s">
        <v>86</v>
      </c>
      <c r="G5" s="9">
        <v>1325</v>
      </c>
    </row>
    <row r="6" spans="1:7">
      <c r="A6" s="5"/>
      <c r="B6" s="5"/>
      <c r="C6" s="5"/>
      <c r="D6" s="5"/>
      <c r="E6" s="5"/>
      <c r="F6" s="9" t="s">
        <v>87</v>
      </c>
      <c r="G6" s="9">
        <v>1134</v>
      </c>
    </row>
    <row r="7" spans="1:7">
      <c r="A7" s="5"/>
      <c r="B7" s="5"/>
      <c r="C7" s="5"/>
      <c r="D7" s="5"/>
      <c r="E7" s="5"/>
      <c r="F7" s="9" t="s">
        <v>88</v>
      </c>
      <c r="G7" s="9">
        <v>984</v>
      </c>
    </row>
    <row r="8" spans="1:7">
      <c r="A8" s="5"/>
      <c r="B8" s="5"/>
      <c r="C8" s="5"/>
      <c r="D8" s="5"/>
      <c r="E8" s="5"/>
      <c r="F8" s="9" t="s">
        <v>89</v>
      </c>
      <c r="G8" s="9">
        <v>950</v>
      </c>
    </row>
    <row r="9" spans="1:7">
      <c r="A9" s="5"/>
      <c r="B9" s="5"/>
      <c r="C9" s="5"/>
      <c r="D9" s="5"/>
      <c r="E9" s="5"/>
      <c r="F9" s="9" t="s">
        <v>90</v>
      </c>
      <c r="G9" s="9">
        <v>885</v>
      </c>
    </row>
    <row r="10" spans="1:7">
      <c r="A10" s="5"/>
      <c r="B10" s="5"/>
      <c r="C10" s="5"/>
      <c r="D10" s="5"/>
      <c r="E10" s="5"/>
      <c r="F10" s="9" t="s">
        <v>91</v>
      </c>
      <c r="G10" s="9">
        <v>574</v>
      </c>
    </row>
    <row r="13" spans="1:7">
      <c r="B13" t="s">
        <v>92</v>
      </c>
    </row>
    <row r="14" spans="1:7">
      <c r="D14" s="11"/>
      <c r="E14" s="11"/>
    </row>
    <row r="15" spans="1:7">
      <c r="D15" s="9"/>
      <c r="E15" s="12"/>
    </row>
    <row r="16" spans="1:7">
      <c r="B16" t="s">
        <v>93</v>
      </c>
    </row>
    <row r="17" spans="2:5">
      <c r="B17" t="s">
        <v>94</v>
      </c>
      <c r="E17" s="13" t="s">
        <v>95</v>
      </c>
    </row>
    <row r="20" spans="2:5">
      <c r="B20" s="5" t="s">
        <v>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2658B-BB99-2B4F-8A97-FDC12A2FF04C}">
  <sheetPr codeName="Feuil8"/>
  <dimension ref="A1:H20"/>
  <sheetViews>
    <sheetView zoomScale="110" zoomScaleNormal="110" workbookViewId="0">
      <selection activeCell="F10" sqref="F10"/>
    </sheetView>
  </sheetViews>
  <sheetFormatPr baseColWidth="10" defaultRowHeight="16"/>
  <sheetData>
    <row r="1" spans="1:8">
      <c r="A1" s="4" t="s">
        <v>97</v>
      </c>
      <c r="D1" s="5" t="s">
        <v>98</v>
      </c>
      <c r="E1" s="5" t="s">
        <v>99</v>
      </c>
      <c r="F1" s="5" t="s">
        <v>100</v>
      </c>
      <c r="G1" s="5" t="s">
        <v>101</v>
      </c>
      <c r="H1" s="5" t="s">
        <v>102</v>
      </c>
    </row>
    <row r="2" spans="1:8">
      <c r="A2" s="5"/>
      <c r="B2" s="5"/>
      <c r="C2" s="5"/>
      <c r="D2" s="5" t="s">
        <v>119</v>
      </c>
      <c r="E2" s="5" t="s">
        <v>103</v>
      </c>
      <c r="F2" s="5">
        <v>45</v>
      </c>
      <c r="G2" s="5">
        <v>49</v>
      </c>
      <c r="H2" s="5">
        <v>49</v>
      </c>
    </row>
    <row r="3" spans="1:8">
      <c r="A3" s="5"/>
      <c r="B3" s="5"/>
      <c r="C3" s="5"/>
      <c r="D3" s="5" t="s">
        <v>104</v>
      </c>
      <c r="E3" s="5" t="s">
        <v>103</v>
      </c>
      <c r="F3" s="5">
        <v>60</v>
      </c>
      <c r="G3" s="5">
        <v>62</v>
      </c>
      <c r="H3" s="5">
        <v>63</v>
      </c>
    </row>
    <row r="4" spans="1:8">
      <c r="A4" s="5"/>
      <c r="B4" s="5"/>
      <c r="C4" s="5"/>
      <c r="D4" s="5" t="s">
        <v>105</v>
      </c>
      <c r="E4" s="5" t="s">
        <v>103</v>
      </c>
      <c r="F4" s="5">
        <v>80</v>
      </c>
      <c r="G4" s="5">
        <v>82</v>
      </c>
      <c r="H4" s="5">
        <v>83</v>
      </c>
    </row>
    <row r="5" spans="1:8">
      <c r="A5" s="5"/>
      <c r="B5" s="5"/>
      <c r="C5" s="5"/>
      <c r="D5" s="5" t="s">
        <v>106</v>
      </c>
      <c r="E5" s="5" t="s">
        <v>107</v>
      </c>
      <c r="F5" s="5">
        <v>39</v>
      </c>
      <c r="G5" s="5">
        <v>52</v>
      </c>
      <c r="H5" s="5">
        <v>43</v>
      </c>
    </row>
    <row r="6" spans="1:8">
      <c r="A6" s="5"/>
      <c r="B6" s="5"/>
      <c r="C6" s="5"/>
      <c r="D6" s="5" t="s">
        <v>108</v>
      </c>
      <c r="E6" s="5" t="s">
        <v>107</v>
      </c>
      <c r="F6" s="5">
        <v>58</v>
      </c>
      <c r="G6" s="5">
        <v>64</v>
      </c>
      <c r="H6" s="5">
        <v>58</v>
      </c>
    </row>
    <row r="7" spans="1:8">
      <c r="A7" s="5"/>
      <c r="B7" s="5"/>
      <c r="C7" s="5"/>
      <c r="D7" s="5" t="s">
        <v>109</v>
      </c>
      <c r="E7" s="5" t="s">
        <v>107</v>
      </c>
      <c r="F7" s="5">
        <v>78</v>
      </c>
      <c r="G7" s="5">
        <v>84</v>
      </c>
      <c r="H7" s="5">
        <v>78</v>
      </c>
    </row>
    <row r="8" spans="1:8">
      <c r="A8" s="5"/>
      <c r="B8" s="5"/>
      <c r="C8" s="5"/>
      <c r="D8" s="5" t="s">
        <v>110</v>
      </c>
      <c r="E8" s="5" t="s">
        <v>111</v>
      </c>
      <c r="F8" s="5">
        <v>44</v>
      </c>
      <c r="G8" s="5">
        <v>48</v>
      </c>
      <c r="H8" s="5">
        <v>65</v>
      </c>
    </row>
    <row r="9" spans="1:8">
      <c r="A9" s="5"/>
      <c r="B9" s="5"/>
      <c r="C9" s="5"/>
      <c r="D9" s="5" t="s">
        <v>112</v>
      </c>
      <c r="E9" s="5" t="s">
        <v>111</v>
      </c>
      <c r="F9" s="5">
        <v>59</v>
      </c>
      <c r="G9" s="5">
        <v>63</v>
      </c>
      <c r="H9" s="5">
        <v>80</v>
      </c>
    </row>
    <row r="10" spans="1:8">
      <c r="A10" s="5"/>
      <c r="B10" s="5"/>
      <c r="C10" s="5"/>
      <c r="D10" s="5" t="s">
        <v>113</v>
      </c>
      <c r="E10" s="5" t="s">
        <v>111</v>
      </c>
      <c r="F10" s="5">
        <v>79</v>
      </c>
      <c r="G10" s="5">
        <v>83</v>
      </c>
      <c r="H10" s="5">
        <v>100</v>
      </c>
    </row>
    <row r="11" spans="1:8">
      <c r="A11" s="5"/>
      <c r="B11" s="5"/>
      <c r="C11" s="5"/>
      <c r="D11" s="5" t="s">
        <v>114</v>
      </c>
      <c r="E11" s="5" t="s">
        <v>115</v>
      </c>
      <c r="F11" s="5">
        <v>45</v>
      </c>
      <c r="G11" s="5">
        <v>30</v>
      </c>
      <c r="H11" s="5">
        <v>35</v>
      </c>
    </row>
    <row r="12" spans="1:8">
      <c r="A12" s="5"/>
      <c r="B12" s="5"/>
      <c r="C12" s="5"/>
      <c r="D12" s="5" t="s">
        <v>116</v>
      </c>
      <c r="E12" s="5" t="s">
        <v>115</v>
      </c>
      <c r="F12" s="5">
        <v>50</v>
      </c>
      <c r="G12" s="5">
        <v>20</v>
      </c>
      <c r="H12" s="5">
        <v>55</v>
      </c>
    </row>
    <row r="13" spans="1:8">
      <c r="A13" s="5"/>
      <c r="B13" s="5"/>
      <c r="C13" s="5"/>
      <c r="D13" s="5" t="s">
        <v>117</v>
      </c>
      <c r="E13" s="5" t="s">
        <v>115</v>
      </c>
      <c r="F13" s="5">
        <v>60</v>
      </c>
      <c r="G13" s="5">
        <v>45</v>
      </c>
      <c r="H13" s="5">
        <v>50</v>
      </c>
    </row>
    <row r="14" spans="1:8">
      <c r="A14" s="5"/>
      <c r="B14" s="5"/>
      <c r="C14" s="5"/>
      <c r="D14" s="5" t="s">
        <v>118</v>
      </c>
      <c r="E14" s="5" t="s">
        <v>115</v>
      </c>
      <c r="F14" s="5">
        <v>40</v>
      </c>
      <c r="G14" s="5">
        <v>35</v>
      </c>
      <c r="H14" s="5">
        <v>30</v>
      </c>
    </row>
    <row r="16" spans="1:8">
      <c r="B16" t="s">
        <v>120</v>
      </c>
    </row>
    <row r="17" spans="2:2">
      <c r="B17" t="s">
        <v>121</v>
      </c>
    </row>
    <row r="18" spans="2:2">
      <c r="B18" t="s">
        <v>122</v>
      </c>
    </row>
    <row r="19" spans="2:2">
      <c r="B19" s="13" t="s">
        <v>123</v>
      </c>
    </row>
    <row r="20" spans="2:2">
      <c r="B20" t="s">
        <v>124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5FD46-9F3B-B54A-A9EC-652355EE480B}">
  <sheetPr codeName="Feuil9"/>
  <dimension ref="A1:C15"/>
  <sheetViews>
    <sheetView workbookViewId="0">
      <selection activeCell="G7" sqref="G7"/>
    </sheetView>
  </sheetViews>
  <sheetFormatPr baseColWidth="10" defaultRowHeight="16"/>
  <sheetData>
    <row r="1" spans="1:3">
      <c r="A1" s="4" t="s">
        <v>125</v>
      </c>
    </row>
    <row r="2" spans="1:3">
      <c r="A2" s="5"/>
      <c r="B2" s="5"/>
      <c r="C2" s="5"/>
    </row>
    <row r="3" spans="1:3">
      <c r="A3" s="5"/>
      <c r="B3" s="5"/>
      <c r="C3" s="5"/>
    </row>
    <row r="4" spans="1:3">
      <c r="A4" s="5"/>
      <c r="B4" s="5" t="s">
        <v>126</v>
      </c>
      <c r="C4" s="5"/>
    </row>
    <row r="5" spans="1:3">
      <c r="A5" s="5"/>
      <c r="B5" s="5"/>
      <c r="C5" s="5"/>
    </row>
    <row r="6" spans="1:3">
      <c r="A6" s="5"/>
      <c r="B6" s="5" t="s">
        <v>127</v>
      </c>
      <c r="C6" s="5"/>
    </row>
    <row r="7" spans="1:3">
      <c r="A7" s="5"/>
      <c r="B7" s="5" t="s">
        <v>128</v>
      </c>
      <c r="C7" s="5"/>
    </row>
    <row r="8" spans="1:3">
      <c r="A8" s="5"/>
      <c r="B8" s="5"/>
      <c r="C8" s="5"/>
    </row>
    <row r="9" spans="1:3">
      <c r="A9" s="5"/>
      <c r="B9" s="5"/>
      <c r="C9" s="5" t="s">
        <v>129</v>
      </c>
    </row>
    <row r="10" spans="1:3">
      <c r="A10" s="5"/>
      <c r="B10" s="5"/>
      <c r="C10" s="5"/>
    </row>
    <row r="11" spans="1:3">
      <c r="A11" s="5"/>
      <c r="B11" s="5" t="s">
        <v>130</v>
      </c>
      <c r="C11" s="5"/>
    </row>
    <row r="12" spans="1:3">
      <c r="A12" s="5"/>
      <c r="B12" s="5"/>
      <c r="C12" s="5"/>
    </row>
    <row r="13" spans="1:3">
      <c r="A13" s="5"/>
      <c r="B13" s="5"/>
      <c r="C13" s="5" t="s">
        <v>131</v>
      </c>
    </row>
    <row r="14" spans="1:3">
      <c r="A14" s="5"/>
      <c r="B14" s="5"/>
      <c r="C14" s="5"/>
    </row>
    <row r="15" spans="1:3">
      <c r="A15" s="5"/>
      <c r="B15" s="5" t="s">
        <v>132</v>
      </c>
      <c r="C15" s="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5FE65-542C-534D-AA46-46226F0374D1}">
  <sheetPr codeName="Feuil10"/>
  <dimension ref="A1:D10"/>
  <sheetViews>
    <sheetView workbookViewId="0">
      <selection activeCell="B11" sqref="B11"/>
    </sheetView>
  </sheetViews>
  <sheetFormatPr baseColWidth="10" defaultRowHeight="16"/>
  <sheetData>
    <row r="1" spans="1:4">
      <c r="A1" s="4" t="s">
        <v>133</v>
      </c>
      <c r="D1" s="8" t="s">
        <v>135</v>
      </c>
    </row>
    <row r="2" spans="1:4">
      <c r="A2" s="5"/>
      <c r="B2" s="5"/>
      <c r="C2" s="5"/>
    </row>
    <row r="3" spans="1:4">
      <c r="A3" s="5"/>
      <c r="B3" s="5"/>
      <c r="C3" s="5"/>
    </row>
    <row r="4" spans="1:4">
      <c r="A4" s="5"/>
      <c r="B4" s="5" t="s">
        <v>134</v>
      </c>
      <c r="C4" s="5"/>
    </row>
    <row r="6" spans="1:4">
      <c r="B6" t="s">
        <v>136</v>
      </c>
    </row>
    <row r="7" spans="1:4">
      <c r="C7" t="s">
        <v>137</v>
      </c>
    </row>
    <row r="9" spans="1:4">
      <c r="C9" t="s">
        <v>138</v>
      </c>
    </row>
    <row r="10" spans="1:4">
      <c r="C10" t="s">
        <v>139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A73B-5F2D-074E-AEC2-1299D9ECBEF9}">
  <sheetPr codeName="Feuil11"/>
  <dimension ref="A1:C11"/>
  <sheetViews>
    <sheetView workbookViewId="0"/>
  </sheetViews>
  <sheetFormatPr baseColWidth="10" defaultRowHeight="16"/>
  <sheetData>
    <row r="1" spans="1:3">
      <c r="A1" s="4" t="s">
        <v>140</v>
      </c>
    </row>
    <row r="2" spans="1:3">
      <c r="A2" s="4"/>
    </row>
    <row r="3" spans="1:3">
      <c r="B3" t="s">
        <v>141</v>
      </c>
    </row>
    <row r="5" spans="1:3">
      <c r="C5" t="s">
        <v>144</v>
      </c>
    </row>
    <row r="6" spans="1:3">
      <c r="C6" t="s">
        <v>145</v>
      </c>
    </row>
    <row r="9" spans="1:3">
      <c r="B9" t="s">
        <v>142</v>
      </c>
    </row>
    <row r="11" spans="1:3">
      <c r="B11" t="s">
        <v>143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45724-4F56-C845-BD4A-696CE1CB4C09}">
  <sheetPr codeName="Feuil12"/>
  <dimension ref="A1:E29"/>
  <sheetViews>
    <sheetView workbookViewId="0">
      <selection activeCell="B29" sqref="B29"/>
    </sheetView>
  </sheetViews>
  <sheetFormatPr baseColWidth="10" defaultRowHeight="16"/>
  <sheetData>
    <row r="1" spans="1:5">
      <c r="A1" s="4" t="s">
        <v>146</v>
      </c>
      <c r="D1" s="8"/>
      <c r="E1" s="15"/>
    </row>
    <row r="2" spans="1:5">
      <c r="A2" s="5"/>
      <c r="B2" s="5"/>
      <c r="C2" s="5"/>
    </row>
    <row r="3" spans="1:5">
      <c r="A3" s="5"/>
      <c r="B3" s="5" t="s">
        <v>147</v>
      </c>
      <c r="C3" s="5"/>
    </row>
    <row r="4" spans="1:5">
      <c r="A4" s="5"/>
      <c r="B4" s="5"/>
      <c r="C4" s="5" t="s">
        <v>148</v>
      </c>
    </row>
    <row r="5" spans="1:5">
      <c r="A5" s="5"/>
      <c r="B5" s="5"/>
      <c r="C5" s="5"/>
    </row>
    <row r="6" spans="1:5">
      <c r="A6" s="5"/>
      <c r="B6" s="5" t="s">
        <v>156</v>
      </c>
      <c r="C6" s="5"/>
    </row>
    <row r="7" spans="1:5">
      <c r="A7" s="5"/>
      <c r="B7" s="5" t="s">
        <v>149</v>
      </c>
      <c r="C7" s="5"/>
    </row>
    <row r="8" spans="1:5">
      <c r="A8" s="5"/>
      <c r="B8" s="5" t="s">
        <v>150</v>
      </c>
      <c r="C8" s="5"/>
    </row>
    <row r="9" spans="1:5">
      <c r="A9" s="5"/>
      <c r="B9" s="5"/>
      <c r="C9" s="5" t="s">
        <v>151</v>
      </c>
    </row>
    <row r="10" spans="1:5">
      <c r="A10" s="5"/>
      <c r="B10" s="5"/>
      <c r="C10" s="14" t="s">
        <v>152</v>
      </c>
    </row>
    <row r="11" spans="1:5">
      <c r="A11" s="5"/>
      <c r="B11" s="5"/>
      <c r="C11" s="5" t="s">
        <v>153</v>
      </c>
    </row>
    <row r="12" spans="1:5">
      <c r="A12" s="5"/>
      <c r="B12" s="5"/>
      <c r="C12" s="14" t="s">
        <v>154</v>
      </c>
    </row>
    <row r="13" spans="1:5">
      <c r="A13" s="5"/>
      <c r="B13" s="5"/>
      <c r="C13" s="5" t="s">
        <v>155</v>
      </c>
    </row>
    <row r="16" spans="1:5">
      <c r="B16" t="s">
        <v>162</v>
      </c>
    </row>
    <row r="17" spans="2:3">
      <c r="B17" t="s">
        <v>163</v>
      </c>
    </row>
    <row r="18" spans="2:3">
      <c r="C18" t="s">
        <v>164</v>
      </c>
    </row>
    <row r="19" spans="2:3">
      <c r="C19" t="s">
        <v>167</v>
      </c>
    </row>
    <row r="20" spans="2:3">
      <c r="C20" t="s">
        <v>153</v>
      </c>
    </row>
    <row r="21" spans="2:3">
      <c r="C21" t="s">
        <v>165</v>
      </c>
    </row>
    <row r="22" spans="2:3">
      <c r="C22" t="s">
        <v>166</v>
      </c>
    </row>
    <row r="24" spans="2:3">
      <c r="B24" t="s">
        <v>168</v>
      </c>
    </row>
    <row r="29" spans="2:3">
      <c r="B29" s="20" t="s">
        <v>157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311B4-F12F-1E49-AF7D-EB5D33D687C4}">
  <sheetPr codeName="Feuil13"/>
  <dimension ref="A1:G27"/>
  <sheetViews>
    <sheetView workbookViewId="0">
      <selection activeCell="B27" sqref="B27"/>
    </sheetView>
  </sheetViews>
  <sheetFormatPr baseColWidth="10" defaultRowHeight="16"/>
  <sheetData>
    <row r="1" spans="1:7">
      <c r="A1" s="4" t="s">
        <v>158</v>
      </c>
    </row>
    <row r="2" spans="1:7">
      <c r="A2" s="5"/>
      <c r="B2" s="5"/>
    </row>
    <row r="3" spans="1:7" ht="17">
      <c r="A3" s="5"/>
      <c r="B3" s="5" t="s">
        <v>159</v>
      </c>
      <c r="G3" s="16"/>
    </row>
    <row r="4" spans="1:7">
      <c r="A4" s="5"/>
      <c r="B4" s="5"/>
      <c r="C4" s="5" t="s">
        <v>161</v>
      </c>
    </row>
    <row r="5" spans="1:7">
      <c r="A5" s="5"/>
      <c r="B5" s="5"/>
      <c r="C5" s="5"/>
    </row>
    <row r="6" spans="1:7">
      <c r="A6" s="5"/>
      <c r="B6" s="5"/>
      <c r="C6" s="5" t="s">
        <v>169</v>
      </c>
    </row>
    <row r="7" spans="1:7">
      <c r="A7" s="5"/>
      <c r="B7" s="5"/>
    </row>
    <row r="8" spans="1:7">
      <c r="A8" s="5"/>
      <c r="B8" s="5" t="s">
        <v>160</v>
      </c>
    </row>
    <row r="11" spans="1:7">
      <c r="B11" t="s">
        <v>170</v>
      </c>
    </row>
    <row r="12" spans="1:7">
      <c r="B12" t="s">
        <v>171</v>
      </c>
    </row>
    <row r="13" spans="1:7">
      <c r="C13" t="s">
        <v>172</v>
      </c>
    </row>
    <row r="14" spans="1:7">
      <c r="C14" t="s">
        <v>173</v>
      </c>
    </row>
    <row r="15" spans="1:7">
      <c r="C15" t="s">
        <v>169</v>
      </c>
    </row>
    <row r="17" spans="2:2">
      <c r="B17" t="s">
        <v>174</v>
      </c>
    </row>
    <row r="27" spans="2:2">
      <c r="B27" s="20" t="s">
        <v>243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2FE7E-E0E1-1B4D-91B3-397A26F1D052}">
  <sheetPr codeName="Feuil14"/>
  <dimension ref="A1:I21"/>
  <sheetViews>
    <sheetView workbookViewId="0">
      <selection activeCell="E23" sqref="E23"/>
    </sheetView>
  </sheetViews>
  <sheetFormatPr baseColWidth="10" defaultRowHeight="16"/>
  <sheetData>
    <row r="1" spans="1:9">
      <c r="A1" s="4" t="s">
        <v>175</v>
      </c>
      <c r="B1" s="5"/>
      <c r="E1" s="10" t="s">
        <v>98</v>
      </c>
      <c r="F1" s="10" t="s">
        <v>99</v>
      </c>
      <c r="G1" s="10" t="s">
        <v>100</v>
      </c>
      <c r="H1" s="10" t="s">
        <v>101</v>
      </c>
      <c r="I1" s="10" t="s">
        <v>102</v>
      </c>
    </row>
    <row r="2" spans="1:9">
      <c r="A2" s="5"/>
      <c r="B2" s="5"/>
      <c r="C2" s="5"/>
      <c r="D2" s="5"/>
      <c r="E2" s="9" t="s">
        <v>119</v>
      </c>
      <c r="F2" s="9" t="s">
        <v>103</v>
      </c>
      <c r="G2" s="9">
        <v>45</v>
      </c>
      <c r="H2" s="9">
        <v>49</v>
      </c>
      <c r="I2" s="9">
        <v>49</v>
      </c>
    </row>
    <row r="3" spans="1:9">
      <c r="A3" s="5"/>
      <c r="B3" s="5"/>
      <c r="C3" s="5"/>
      <c r="D3" s="5"/>
      <c r="E3" s="9" t="s">
        <v>104</v>
      </c>
      <c r="F3" s="9" t="s">
        <v>103</v>
      </c>
      <c r="G3" s="9">
        <v>60</v>
      </c>
      <c r="H3" s="9">
        <v>62</v>
      </c>
      <c r="I3" s="9">
        <v>63</v>
      </c>
    </row>
    <row r="4" spans="1:9">
      <c r="A4" s="5"/>
      <c r="B4" s="5"/>
      <c r="C4" s="5"/>
      <c r="D4" s="5"/>
      <c r="E4" s="9" t="s">
        <v>105</v>
      </c>
      <c r="F4" s="9" t="s">
        <v>103</v>
      </c>
      <c r="G4" s="9">
        <v>80</v>
      </c>
      <c r="H4" s="9">
        <v>82</v>
      </c>
      <c r="I4" s="9">
        <v>83</v>
      </c>
    </row>
    <row r="5" spans="1:9">
      <c r="A5" s="5"/>
      <c r="B5" s="5"/>
      <c r="C5" s="5"/>
      <c r="D5" s="5"/>
      <c r="E5" s="9" t="s">
        <v>106</v>
      </c>
      <c r="F5" s="9" t="s">
        <v>107</v>
      </c>
      <c r="G5" s="9">
        <v>39</v>
      </c>
      <c r="H5" s="9">
        <v>52</v>
      </c>
      <c r="I5" s="9">
        <v>43</v>
      </c>
    </row>
    <row r="6" spans="1:9">
      <c r="A6" s="5"/>
      <c r="B6" s="5"/>
      <c r="C6" s="5"/>
      <c r="D6" s="5"/>
      <c r="E6" s="9" t="s">
        <v>108</v>
      </c>
      <c r="F6" s="9" t="s">
        <v>107</v>
      </c>
      <c r="G6" s="9">
        <v>58</v>
      </c>
      <c r="H6" s="9">
        <v>64</v>
      </c>
      <c r="I6" s="9">
        <v>58</v>
      </c>
    </row>
    <row r="7" spans="1:9">
      <c r="A7" s="5"/>
      <c r="B7" s="5"/>
      <c r="C7" s="5"/>
      <c r="D7" s="5"/>
      <c r="E7" s="9" t="s">
        <v>109</v>
      </c>
      <c r="F7" s="9" t="s">
        <v>107</v>
      </c>
      <c r="G7" s="9">
        <v>78</v>
      </c>
      <c r="H7" s="9">
        <v>84</v>
      </c>
      <c r="I7" s="9">
        <v>78</v>
      </c>
    </row>
    <row r="8" spans="1:9">
      <c r="A8" s="5"/>
      <c r="B8" s="5"/>
      <c r="C8" s="5"/>
      <c r="D8" s="5"/>
      <c r="E8" s="9" t="s">
        <v>110</v>
      </c>
      <c r="F8" s="9" t="s">
        <v>111</v>
      </c>
      <c r="G8" s="9">
        <v>44</v>
      </c>
      <c r="H8" s="9">
        <v>48</v>
      </c>
      <c r="I8" s="9">
        <v>65</v>
      </c>
    </row>
    <row r="9" spans="1:9">
      <c r="A9" s="5"/>
      <c r="B9" s="5"/>
      <c r="C9" s="5"/>
      <c r="D9" s="5"/>
      <c r="E9" s="9" t="s">
        <v>112</v>
      </c>
      <c r="F9" s="9" t="s">
        <v>111</v>
      </c>
      <c r="G9" s="9">
        <v>59</v>
      </c>
      <c r="H9" s="9">
        <v>63</v>
      </c>
      <c r="I9" s="9">
        <v>80</v>
      </c>
    </row>
    <row r="10" spans="1:9">
      <c r="A10" s="5"/>
      <c r="B10" s="5"/>
      <c r="C10" s="5"/>
      <c r="D10" s="5"/>
      <c r="E10" s="9" t="s">
        <v>113</v>
      </c>
      <c r="F10" s="9" t="s">
        <v>111</v>
      </c>
      <c r="G10" s="9">
        <v>79</v>
      </c>
      <c r="H10" s="9">
        <v>83</v>
      </c>
      <c r="I10" s="9">
        <v>100</v>
      </c>
    </row>
    <row r="11" spans="1:9">
      <c r="A11" s="5"/>
      <c r="B11" s="5"/>
      <c r="C11" s="5"/>
      <c r="D11" s="5"/>
      <c r="E11" s="9" t="s">
        <v>114</v>
      </c>
      <c r="F11" s="9" t="s">
        <v>115</v>
      </c>
      <c r="G11" s="9">
        <v>45</v>
      </c>
      <c r="H11" s="9">
        <v>30</v>
      </c>
      <c r="I11" s="9">
        <v>35</v>
      </c>
    </row>
    <row r="12" spans="1:9">
      <c r="A12" s="5"/>
      <c r="B12" s="5"/>
      <c r="C12" s="5"/>
      <c r="D12" s="5"/>
      <c r="E12" s="9" t="s">
        <v>116</v>
      </c>
      <c r="F12" s="9" t="s">
        <v>115</v>
      </c>
      <c r="G12" s="9">
        <v>50</v>
      </c>
      <c r="H12" s="9">
        <v>20</v>
      </c>
      <c r="I12" s="9">
        <v>55</v>
      </c>
    </row>
    <row r="13" spans="1:9">
      <c r="A13" s="5"/>
      <c r="B13" s="5"/>
      <c r="C13" s="5"/>
      <c r="D13" s="5"/>
      <c r="E13" s="9" t="s">
        <v>117</v>
      </c>
      <c r="F13" s="9" t="s">
        <v>115</v>
      </c>
      <c r="G13" s="9">
        <v>60</v>
      </c>
      <c r="H13" s="9">
        <v>45</v>
      </c>
      <c r="I13" s="9">
        <v>50</v>
      </c>
    </row>
    <row r="14" spans="1:9">
      <c r="A14" s="5"/>
      <c r="B14" s="5"/>
      <c r="C14" s="5"/>
      <c r="D14" s="5"/>
      <c r="E14" s="9" t="s">
        <v>118</v>
      </c>
      <c r="F14" s="9" t="s">
        <v>115</v>
      </c>
      <c r="G14" s="9">
        <v>40</v>
      </c>
      <c r="H14" s="9">
        <v>35</v>
      </c>
      <c r="I14" s="9">
        <v>30</v>
      </c>
    </row>
    <row r="15" spans="1:9">
      <c r="A15" s="5"/>
      <c r="B15" s="5"/>
      <c r="C15" s="5"/>
      <c r="D15" s="5"/>
      <c r="E15" s="5"/>
      <c r="F15" s="5"/>
      <c r="G15" s="5"/>
      <c r="H15" s="5"/>
      <c r="I15" s="5"/>
    </row>
    <row r="16" spans="1:9">
      <c r="A16" s="5"/>
      <c r="B16" s="5" t="s">
        <v>176</v>
      </c>
      <c r="C16" s="5"/>
      <c r="D16" s="5"/>
      <c r="E16" s="17" t="s">
        <v>177</v>
      </c>
      <c r="F16" s="18"/>
      <c r="G16" s="9"/>
      <c r="H16" s="9"/>
      <c r="I16" s="12"/>
    </row>
    <row r="17" spans="1:9">
      <c r="A17" s="5"/>
      <c r="B17" s="5"/>
      <c r="C17" s="5"/>
      <c r="D17" s="5"/>
      <c r="E17" s="17" t="s">
        <v>178</v>
      </c>
      <c r="F17" s="18"/>
      <c r="G17" s="9"/>
      <c r="H17" s="9"/>
      <c r="I17" s="12"/>
    </row>
    <row r="18" spans="1:9">
      <c r="A18" s="5"/>
      <c r="B18" s="5"/>
      <c r="C18" s="5"/>
      <c r="D18" s="5"/>
      <c r="E18" s="17" t="s">
        <v>179</v>
      </c>
      <c r="F18" s="18"/>
      <c r="G18" s="9"/>
      <c r="H18" s="9"/>
      <c r="I18" s="12"/>
    </row>
    <row r="19" spans="1:9">
      <c r="A19" s="5"/>
      <c r="B19" s="5"/>
      <c r="C19" s="5"/>
      <c r="D19" s="5"/>
      <c r="E19" s="17" t="s">
        <v>180</v>
      </c>
      <c r="F19" s="18"/>
      <c r="G19" s="9"/>
      <c r="H19" s="9"/>
      <c r="I19" s="12"/>
    </row>
    <row r="20" spans="1:9">
      <c r="A20" s="5"/>
      <c r="B20" s="5"/>
      <c r="C20" s="5"/>
      <c r="D20" s="5"/>
      <c r="E20" s="5"/>
      <c r="F20" s="5"/>
      <c r="G20" s="5"/>
      <c r="H20" s="5"/>
      <c r="I20" s="5"/>
    </row>
    <row r="21" spans="1:9">
      <c r="A21" s="5"/>
      <c r="B21" s="5" t="s">
        <v>181</v>
      </c>
      <c r="C21" s="5"/>
      <c r="D21" s="5"/>
      <c r="E21" s="5"/>
      <c r="F21" s="5"/>
      <c r="G21" s="5"/>
      <c r="H21" s="5"/>
      <c r="I21" s="5"/>
    </row>
  </sheetData>
  <mergeCells count="4">
    <mergeCell ref="E16:F16"/>
    <mergeCell ref="E17:F17"/>
    <mergeCell ref="E18:F18"/>
    <mergeCell ref="E19:F19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A3559-D8FC-1A4D-B6C6-BA40E7F022B5}">
  <sheetPr codeName="Feuil15"/>
  <dimension ref="A1:B10"/>
  <sheetViews>
    <sheetView workbookViewId="0">
      <selection activeCell="B7" sqref="B7"/>
    </sheetView>
  </sheetViews>
  <sheetFormatPr baseColWidth="10" defaultRowHeight="16"/>
  <sheetData>
    <row r="1" spans="1:2">
      <c r="A1" s="4" t="s">
        <v>182</v>
      </c>
    </row>
    <row r="3" spans="1:2">
      <c r="B3" t="s">
        <v>183</v>
      </c>
    </row>
    <row r="5" spans="1:2">
      <c r="B5" t="s">
        <v>187</v>
      </c>
    </row>
    <row r="7" spans="1:2">
      <c r="B7" t="s">
        <v>186</v>
      </c>
    </row>
    <row r="9" spans="1:2">
      <c r="B9" s="5" t="s">
        <v>184</v>
      </c>
    </row>
    <row r="10" spans="1:2">
      <c r="B10" s="5" t="s">
        <v>185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49D00-9D35-A749-92F1-E0E42EF7494E}">
  <sheetPr codeName="Feuil16"/>
  <dimension ref="A1:C4"/>
  <sheetViews>
    <sheetView workbookViewId="0">
      <selection activeCell="B5" sqref="B5"/>
    </sheetView>
  </sheetViews>
  <sheetFormatPr baseColWidth="10" defaultRowHeight="16"/>
  <sheetData>
    <row r="1" spans="1:3">
      <c r="A1" s="4" t="s">
        <v>188</v>
      </c>
    </row>
    <row r="2" spans="1:3">
      <c r="A2" s="5"/>
      <c r="B2" s="5"/>
      <c r="C2" s="5"/>
    </row>
    <row r="3" spans="1:3">
      <c r="A3" s="5"/>
      <c r="B3" s="5" t="s">
        <v>189</v>
      </c>
      <c r="C3" s="5"/>
    </row>
    <row r="4" spans="1:3">
      <c r="A4" s="5"/>
      <c r="B4" s="5" t="s">
        <v>190</v>
      </c>
      <c r="C4" s="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CE054-D427-6043-B41E-3510CB927318}">
  <sheetPr codeName="Feuil17"/>
  <dimension ref="A1:N36"/>
  <sheetViews>
    <sheetView workbookViewId="0">
      <selection activeCell="I1" sqref="I1"/>
    </sheetView>
  </sheetViews>
  <sheetFormatPr baseColWidth="10" defaultRowHeight="16"/>
  <sheetData>
    <row r="1" spans="1:14">
      <c r="A1" s="4" t="s">
        <v>191</v>
      </c>
      <c r="D1" s="4" t="s">
        <v>193</v>
      </c>
      <c r="G1" s="4"/>
      <c r="I1" s="4"/>
      <c r="K1" s="4" t="s">
        <v>193</v>
      </c>
      <c r="L1" s="4" t="s">
        <v>203</v>
      </c>
      <c r="N1" s="4" t="s">
        <v>215</v>
      </c>
    </row>
    <row r="2" spans="1:14">
      <c r="A2" s="5"/>
      <c r="B2" s="5"/>
      <c r="C2" s="5"/>
      <c r="D2" s="19" t="s">
        <v>199</v>
      </c>
      <c r="G2" s="5"/>
      <c r="I2" s="5"/>
      <c r="K2" s="5" t="s">
        <v>195</v>
      </c>
      <c r="L2" s="5" t="s">
        <v>204</v>
      </c>
      <c r="N2" s="5" t="s">
        <v>216</v>
      </c>
    </row>
    <row r="3" spans="1:14">
      <c r="A3" s="5"/>
      <c r="C3" s="5"/>
      <c r="G3" s="5"/>
      <c r="I3" s="5"/>
      <c r="K3" s="5" t="s">
        <v>195</v>
      </c>
      <c r="L3" s="5" t="s">
        <v>205</v>
      </c>
      <c r="N3" s="5" t="s">
        <v>217</v>
      </c>
    </row>
    <row r="4" spans="1:14">
      <c r="G4" s="5"/>
      <c r="I4" s="5"/>
      <c r="K4" s="5" t="s">
        <v>197</v>
      </c>
      <c r="L4" s="5" t="s">
        <v>206</v>
      </c>
      <c r="N4" s="5" t="s">
        <v>218</v>
      </c>
    </row>
    <row r="5" spans="1:14">
      <c r="B5" s="5" t="s">
        <v>192</v>
      </c>
      <c r="G5" s="5"/>
      <c r="I5" s="5"/>
      <c r="K5" s="5" t="s">
        <v>197</v>
      </c>
      <c r="L5" s="5" t="s">
        <v>207</v>
      </c>
      <c r="N5" s="5" t="s">
        <v>219</v>
      </c>
    </row>
    <row r="6" spans="1:14">
      <c r="C6" s="4"/>
      <c r="D6" s="4"/>
      <c r="E6" s="4"/>
      <c r="G6" s="5"/>
      <c r="I6" s="5"/>
      <c r="K6" s="5" t="s">
        <v>194</v>
      </c>
      <c r="L6" s="5" t="s">
        <v>208</v>
      </c>
      <c r="N6" s="5" t="s">
        <v>220</v>
      </c>
    </row>
    <row r="7" spans="1:14">
      <c r="C7" s="5"/>
      <c r="D7" s="5"/>
      <c r="E7" s="5"/>
      <c r="G7" s="5"/>
      <c r="I7" s="5"/>
      <c r="K7" s="5" t="s">
        <v>194</v>
      </c>
      <c r="L7" s="5" t="s">
        <v>204</v>
      </c>
      <c r="N7" s="5" t="s">
        <v>221</v>
      </c>
    </row>
    <row r="8" spans="1:14">
      <c r="C8" s="5"/>
      <c r="D8" s="5"/>
      <c r="E8" s="5"/>
      <c r="G8" s="5"/>
      <c r="I8" s="5"/>
      <c r="K8" s="5" t="s">
        <v>198</v>
      </c>
      <c r="L8" s="5" t="s">
        <v>209</v>
      </c>
      <c r="N8" s="5" t="s">
        <v>222</v>
      </c>
    </row>
    <row r="9" spans="1:14">
      <c r="G9" s="5"/>
      <c r="I9" s="5"/>
      <c r="K9" s="5" t="s">
        <v>198</v>
      </c>
      <c r="L9" s="5" t="s">
        <v>210</v>
      </c>
      <c r="N9" s="5" t="s">
        <v>223</v>
      </c>
    </row>
    <row r="10" spans="1:14">
      <c r="G10" s="5"/>
      <c r="I10" s="5"/>
      <c r="K10" s="5" t="s">
        <v>199</v>
      </c>
      <c r="L10" s="5" t="s">
        <v>208</v>
      </c>
      <c r="N10" s="5" t="s">
        <v>224</v>
      </c>
    </row>
    <row r="11" spans="1:14">
      <c r="K11" s="5" t="s">
        <v>199</v>
      </c>
      <c r="L11" s="5" t="s">
        <v>211</v>
      </c>
      <c r="N11" s="5" t="s">
        <v>225</v>
      </c>
    </row>
    <row r="12" spans="1:14">
      <c r="K12" s="5" t="s">
        <v>200</v>
      </c>
      <c r="L12" s="5" t="s">
        <v>212</v>
      </c>
      <c r="N12" s="5" t="s">
        <v>226</v>
      </c>
    </row>
    <row r="13" spans="1:14">
      <c r="K13" s="5" t="s">
        <v>201</v>
      </c>
      <c r="L13" s="5" t="s">
        <v>74</v>
      </c>
      <c r="N13" s="5" t="s">
        <v>227</v>
      </c>
    </row>
    <row r="14" spans="1:14">
      <c r="K14" s="5" t="s">
        <v>201</v>
      </c>
      <c r="L14" s="5" t="s">
        <v>213</v>
      </c>
      <c r="N14" s="5" t="s">
        <v>228</v>
      </c>
    </row>
    <row r="15" spans="1:14">
      <c r="K15" s="5" t="s">
        <v>200</v>
      </c>
      <c r="L15" s="5" t="s">
        <v>57</v>
      </c>
      <c r="N15" s="5" t="s">
        <v>229</v>
      </c>
    </row>
    <row r="16" spans="1:14">
      <c r="K16" s="5" t="s">
        <v>202</v>
      </c>
      <c r="L16" s="5" t="s">
        <v>206</v>
      </c>
      <c r="N16" s="5" t="s">
        <v>230</v>
      </c>
    </row>
    <row r="17" spans="2:14">
      <c r="K17" s="5" t="s">
        <v>202</v>
      </c>
      <c r="L17" s="5" t="s">
        <v>214</v>
      </c>
      <c r="N17" s="5" t="s">
        <v>231</v>
      </c>
    </row>
    <row r="18" spans="2:14">
      <c r="K18" s="5" t="s">
        <v>196</v>
      </c>
      <c r="L18" s="5" t="s">
        <v>209</v>
      </c>
      <c r="N18" s="5" t="s">
        <v>232</v>
      </c>
    </row>
    <row r="19" spans="2:14">
      <c r="K19" s="5" t="s">
        <v>196</v>
      </c>
      <c r="L19" s="5" t="s">
        <v>71</v>
      </c>
      <c r="N19" s="5" t="s">
        <v>233</v>
      </c>
    </row>
    <row r="20" spans="2:14">
      <c r="N20" s="5" t="s">
        <v>234</v>
      </c>
    </row>
    <row r="21" spans="2:14">
      <c r="B21" t="s">
        <v>235</v>
      </c>
    </row>
    <row r="23" spans="2:14">
      <c r="C23" t="s">
        <v>236</v>
      </c>
    </row>
    <row r="24" spans="2:14">
      <c r="C24" t="s">
        <v>237</v>
      </c>
    </row>
    <row r="26" spans="2:14">
      <c r="B26" t="s">
        <v>238</v>
      </c>
    </row>
    <row r="28" spans="2:14">
      <c r="C28" t="s">
        <v>239</v>
      </c>
    </row>
    <row r="30" spans="2:14">
      <c r="B30" t="s">
        <v>240</v>
      </c>
    </row>
    <row r="32" spans="2:14">
      <c r="C32" t="s">
        <v>241</v>
      </c>
    </row>
    <row r="36" spans="2:2">
      <c r="B36" s="20" t="s">
        <v>242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38895-B65A-854A-9B44-6136900928EB}">
  <sheetPr codeName="Feuil18"/>
  <dimension ref="A1:E12"/>
  <sheetViews>
    <sheetView workbookViewId="0">
      <selection activeCell="E7" sqref="E7"/>
    </sheetView>
  </sheetViews>
  <sheetFormatPr baseColWidth="10" defaultRowHeight="16"/>
  <cols>
    <col min="2" max="2" width="33" customWidth="1"/>
    <col min="3" max="3" width="40.33203125" customWidth="1"/>
    <col min="5" max="5" width="25.6640625" customWidth="1"/>
  </cols>
  <sheetData>
    <row r="1" spans="1:5">
      <c r="A1" s="21" t="s">
        <v>36</v>
      </c>
      <c r="B1" s="2"/>
      <c r="C1" s="2"/>
      <c r="D1" s="2"/>
    </row>
    <row r="2" spans="1:5">
      <c r="A2" s="2"/>
      <c r="B2" s="2"/>
      <c r="C2" s="2"/>
      <c r="D2" s="2"/>
    </row>
    <row r="3" spans="1:5">
      <c r="A3" s="2"/>
      <c r="B3" s="2" t="s">
        <v>244</v>
      </c>
      <c r="C3" s="22" t="s">
        <v>252</v>
      </c>
      <c r="D3" s="23">
        <f ca="1">TODAY()</f>
        <v>43469</v>
      </c>
    </row>
    <row r="4" spans="1:5">
      <c r="A4" s="2"/>
      <c r="B4" s="2" t="s">
        <v>253</v>
      </c>
      <c r="C4" s="22" t="s">
        <v>254</v>
      </c>
      <c r="D4" s="2">
        <f ca="1">WEEKDAY(D3,2)</f>
        <v>5</v>
      </c>
    </row>
    <row r="5" spans="1:5">
      <c r="A5" s="2"/>
      <c r="B5" s="2" t="s">
        <v>245</v>
      </c>
      <c r="C5" s="24" t="s">
        <v>259</v>
      </c>
      <c r="D5" s="25">
        <f ca="1">TODAY()-WEEKDAY(TODAY(),2)+1</f>
        <v>43465</v>
      </c>
      <c r="E5" s="26">
        <f ca="1">D5</f>
        <v>43465</v>
      </c>
    </row>
    <row r="6" spans="1:5">
      <c r="A6" s="2"/>
      <c r="B6" s="2" t="s">
        <v>246</v>
      </c>
      <c r="C6" s="22" t="s">
        <v>258</v>
      </c>
      <c r="D6" s="23">
        <f ca="1">EOMONTH(TODAY(),0)</f>
        <v>43496</v>
      </c>
    </row>
    <row r="7" spans="1:5">
      <c r="A7" s="2"/>
      <c r="B7" s="2"/>
      <c r="C7" s="2"/>
      <c r="D7" s="2"/>
    </row>
    <row r="8" spans="1:5">
      <c r="A8" s="2"/>
      <c r="B8" s="2" t="s">
        <v>247</v>
      </c>
      <c r="C8" s="22" t="s">
        <v>255</v>
      </c>
      <c r="D8" s="2">
        <f ca="1">YEAR(TODAY())</f>
        <v>2019</v>
      </c>
    </row>
    <row r="9" spans="1:5">
      <c r="A9" s="2"/>
      <c r="B9" s="2" t="s">
        <v>248</v>
      </c>
      <c r="C9" s="22" t="s">
        <v>256</v>
      </c>
      <c r="D9" s="2">
        <f ca="1">MONTH(TODAY())</f>
        <v>1</v>
      </c>
    </row>
    <row r="10" spans="1:5">
      <c r="A10" s="2"/>
      <c r="B10" s="2" t="s">
        <v>249</v>
      </c>
      <c r="C10" s="22" t="s">
        <v>257</v>
      </c>
      <c r="D10" s="2">
        <f ca="1">DAY(TODAY())</f>
        <v>4</v>
      </c>
    </row>
    <row r="11" spans="1:5">
      <c r="A11" s="2"/>
      <c r="B11" s="2"/>
      <c r="C11" s="2"/>
      <c r="D11" s="2"/>
    </row>
    <row r="12" spans="1:5">
      <c r="A12" s="2"/>
      <c r="B12" s="2" t="s">
        <v>250</v>
      </c>
      <c r="C12" s="2" t="s">
        <v>251</v>
      </c>
      <c r="D12" s="23">
        <f ca="1">DATE(YEAR(TODAY()),MONTH(TODAY()),DAY(TODAY()))</f>
        <v>43469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18</vt:i4>
      </vt:variant>
      <vt:variant>
        <vt:lpstr>Plages nommées</vt:lpstr>
      </vt:variant>
      <vt:variant>
        <vt:i4>2</vt:i4>
      </vt:variant>
    </vt:vector>
  </HeadingPairs>
  <TitlesOfParts>
    <vt:vector size="20" baseType="lpstr">
      <vt:lpstr>Accueil</vt:lpstr>
      <vt:lpstr>F1</vt:lpstr>
      <vt:lpstr>F2</vt:lpstr>
      <vt:lpstr>F3</vt:lpstr>
      <vt:lpstr>F4</vt:lpstr>
      <vt:lpstr>F5</vt:lpstr>
      <vt:lpstr>F6</vt:lpstr>
      <vt:lpstr>F7</vt:lpstr>
      <vt:lpstr>F8</vt:lpstr>
      <vt:lpstr>F9</vt:lpstr>
      <vt:lpstr>F10</vt:lpstr>
      <vt:lpstr>F11</vt:lpstr>
      <vt:lpstr>F12</vt:lpstr>
      <vt:lpstr>F13</vt:lpstr>
      <vt:lpstr>F14</vt:lpstr>
      <vt:lpstr>F15</vt:lpstr>
      <vt:lpstr>F16</vt:lpstr>
      <vt:lpstr>F17</vt:lpstr>
      <vt:lpstr>'F16'!Criteres</vt:lpstr>
      <vt:lpstr>'F16'!Extraire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Conan</dc:creator>
  <cp:lastModifiedBy>Nathalie Conan</cp:lastModifiedBy>
  <dcterms:created xsi:type="dcterms:W3CDTF">2019-01-02T00:33:30Z</dcterms:created>
  <dcterms:modified xsi:type="dcterms:W3CDTF">2019-01-04T00:28:48Z</dcterms:modified>
</cp:coreProperties>
</file>